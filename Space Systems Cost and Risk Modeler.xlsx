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Internship\Space Systems Cost and Risk Modeler\"/>
    </mc:Choice>
  </mc:AlternateContent>
  <xr:revisionPtr revIDLastSave="0" documentId="13_ncr:1_{BD30E2C1-96BB-4081-BD61-30F30FD412C7}" xr6:coauthVersionLast="47" xr6:coauthVersionMax="47" xr10:uidLastSave="{00000000-0000-0000-0000-000000000000}"/>
  <bookViews>
    <workbookView xWindow="-110" yWindow="-110" windowWidth="25820" windowHeight="13900" xr2:uid="{608D613E-F24B-4856-BB2D-ACC505469EC9}"/>
  </bookViews>
  <sheets>
    <sheet name="Component Data" sheetId="1" r:id="rId1"/>
    <sheet name="Sources &amp; Not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<sst xmlns="http://schemas.openxmlformats.org/spreadsheetml/2006/main" count="185" uniqueCount="138">
  <si>
    <t>Component_ID</t>
  </si>
  <si>
    <t>Category</t>
  </si>
  <si>
    <t>Model</t>
  </si>
  <si>
    <t>Vendor</t>
  </si>
  <si>
    <t>Base_Cost_USD</t>
  </si>
  <si>
    <t>Mass_g</t>
  </si>
  <si>
    <t>Power_W</t>
  </si>
  <si>
    <t>Architecture</t>
  </si>
  <si>
    <t>CVE_Count</t>
  </si>
  <si>
    <t>Max_CVSS</t>
  </si>
  <si>
    <t>Interface_Risk</t>
  </si>
  <si>
    <t>Criticality</t>
  </si>
  <si>
    <t>ADCS-001</t>
  </si>
  <si>
    <t>Star Tracker</t>
  </si>
  <si>
    <t>Terma</t>
  </si>
  <si>
    <t>T1</t>
  </si>
  <si>
    <t>LEON3-FT</t>
  </si>
  <si>
    <t>Data_Source</t>
  </si>
  <si>
    <t>Notes</t>
  </si>
  <si>
    <t>ADCS-002</t>
  </si>
  <si>
    <t>CubeSpace / Sodern</t>
  </si>
  <si>
    <t>Auriga</t>
  </si>
  <si>
    <t>ADCS-003</t>
  </si>
  <si>
    <t>ARM Cortex-M4</t>
  </si>
  <si>
    <t>ARM Cortex-M7</t>
  </si>
  <si>
    <t>OBC-001</t>
  </si>
  <si>
    <t>OBC</t>
  </si>
  <si>
    <t>AAC Clyde Space</t>
  </si>
  <si>
    <t>Kryten M3</t>
  </si>
  <si>
    <t>ARM Cortex-M0+</t>
  </si>
  <si>
    <t>OBC-002</t>
  </si>
  <si>
    <t>GomSpace</t>
  </si>
  <si>
    <t>NanoMind A3200</t>
  </si>
  <si>
    <t>AVR32 (UC3)</t>
  </si>
  <si>
    <t>OBC-003</t>
  </si>
  <si>
    <t>Vorago Technologies</t>
  </si>
  <si>
    <t>VA10820 (PEB1)</t>
  </si>
  <si>
    <t>ARM Cortex-M0 (HARDSIL)</t>
  </si>
  <si>
    <t>COM-001</t>
  </si>
  <si>
    <t>Radio</t>
  </si>
  <si>
    <t>AstroDev</t>
  </si>
  <si>
    <t>Lithium-2 (Li-2)</t>
  </si>
  <si>
    <t>AX.25 (Cortex-M3)</t>
  </si>
  <si>
    <t>COM-002</t>
  </si>
  <si>
    <t>EnduroSat</t>
  </si>
  <si>
    <t>S-Band Transmitter</t>
  </si>
  <si>
    <t>COM-003</t>
  </si>
  <si>
    <t>ISISPACE</t>
  </si>
  <si>
    <t>UHF/VHF Transceiver</t>
  </si>
  <si>
    <t>ATMega / AVR</t>
  </si>
  <si>
    <t>EPS-001</t>
  </si>
  <si>
    <t>EPS</t>
  </si>
  <si>
    <t>MSP430</t>
  </si>
  <si>
    <t>EPS-002</t>
  </si>
  <si>
    <t>EPS II</t>
  </si>
  <si>
    <t>EPS-003</t>
  </si>
  <si>
    <t>Pumpkin Inc.</t>
  </si>
  <si>
    <t>Linear EPS</t>
  </si>
  <si>
    <t>PIC24</t>
  </si>
  <si>
    <t>ICEPS2</t>
  </si>
  <si>
    <t>PROP-001</t>
  </si>
  <si>
    <t>Propulsion</t>
  </si>
  <si>
    <t>ENPULSION</t>
  </si>
  <si>
    <t>Nano R3</t>
  </si>
  <si>
    <t>PROP-002</t>
  </si>
  <si>
    <t>Busek</t>
  </si>
  <si>
    <t>BIT-3</t>
  </si>
  <si>
    <t>PROP-003</t>
  </si>
  <si>
    <t>Dawn Aero</t>
  </si>
  <si>
    <t>B20</t>
  </si>
  <si>
    <t>GNSS-001</t>
  </si>
  <si>
    <t>GNSS</t>
  </si>
  <si>
    <t>NovAtel</t>
  </si>
  <si>
    <t>OEM719</t>
  </si>
  <si>
    <t>ARM Cortex-A9</t>
  </si>
  <si>
    <t>GNSS-002</t>
  </si>
  <si>
    <t>GOMSpace</t>
  </si>
  <si>
    <t>NanoUtil</t>
  </si>
  <si>
    <t>AVR32</t>
  </si>
  <si>
    <t>GNSS-003</t>
  </si>
  <si>
    <t>Antcom</t>
  </si>
  <si>
    <t>G5 Space</t>
  </si>
  <si>
    <t>N/A (Passive)</t>
  </si>
  <si>
    <t>PAY-001</t>
  </si>
  <si>
    <t>Payload</t>
  </si>
  <si>
    <t>Simera Sense</t>
  </si>
  <si>
    <t>MultiScape100</t>
  </si>
  <si>
    <t>PAY-002</t>
  </si>
  <si>
    <t>Dragonfly Aero</t>
  </si>
  <si>
    <t>Gecko Imager</t>
  </si>
  <si>
    <t>PAY-003</t>
  </si>
  <si>
    <t>NanoCam C1U</t>
  </si>
  <si>
    <t>Primary Sources:</t>
  </si>
  <si>
    <t>NASA Small Spacecraft State of the Art (SoA) Report 2023, SatSearch Marketplace, CubeSatShop, Vendor Datasheets, ResearchGate, ESA Presentations, Manufacturer Technical Manuals, NIST NVD</t>
  </si>
  <si>
    <t>Busek BIT-3 Datasheet, NASA GSFC CubeSat Propulsion Presentation, SatCatalog BIT-3 Overview</t>
  </si>
  <si>
    <t>Architecture confirmed via Datasheet. Cost proxy ($30,000) based on SatNow and academic survey of TRL-9 star trackers.</t>
  </si>
  <si>
    <t>Architecture inferred as ARM Cortex-M class based on updated electronics, radiation-tested COTS+ components, and subsystem class analogs. Cost proxy ($55,000) based on Satsearch and vendor pricing for similar CubeSat propulsion units.</t>
  </si>
  <si>
    <t>Architecture confirmed as ARM Cortex-M0+ via datasheet. Cost proxy ($12,000) based on SatCatalog and NASA SoA CubeSat OBC pricing.</t>
  </si>
  <si>
    <t>Architecture confirmed as AVR32 (UC3) via GomSpace documentation. Cost proxy ($8,000) based on CubeSatShop and SatCatalog.</t>
  </si>
  <si>
    <t>Architecture confirmed as ARM Cortex-M0 (HARDSIL) via datasheet. Cost proxy ($25,000) based on Vorago rad-hard MCU pricing and SatNow listings.</t>
  </si>
  <si>
    <t>Architecture inferred as ARM Cortex-M7 via datasheet and vendor specs. Cost proxy ($18,000) based on CubeSatShop and NASA SoA price ranges.</t>
  </si>
  <si>
    <t>Terma T1 Star Tracker Datasheet, IEEE Access Star Tracker Cost Survey (Table 1), SatNow T1 Listing</t>
  </si>
  <si>
    <t>CubeSpace Auriga Datasheet, Sodern Auriga CP Datasheet, NASA SoA 2023 (Chapter 5), Satsearch Auriga Listing</t>
  </si>
  <si>
    <t>AAC Clyde Kryten M3 Datasheet, SatCatalog Kryten M3 Overview, NASA SoA 2023 (Chapter 3)</t>
  </si>
  <si>
    <t>GomSpace NanoMind A3200 Datasheet, NanoMind A3200 Technical Manual, CubeSatShop Listing</t>
  </si>
  <si>
    <t>Vorago VA10820 Datasheet, Vorago Product Overview, SatNow VA10820 Listing</t>
  </si>
  <si>
    <t>AstroDev Lithium-2 Datasheet, NASA EDSN Mission Report, Stanford SSI Wiki</t>
  </si>
  <si>
    <t>EnduroSat S-Band Transmitter Datasheet, Satsearch EnduroSat Listing, SatNow S-Band Transmitter Overview</t>
  </si>
  <si>
    <t>ISISPACE UHF/VHF Transceiver Datasheet, ISISPACE Full Duplex Brochure, SatCatalog Transceiver Overview</t>
  </si>
  <si>
    <t>Pumpkin Linear EPS Datasheet, Stanford SSI Wiki, SatCatalog EPS Overview</t>
  </si>
  <si>
    <t>ISISPACE ICEPS2 Datasheet, Satsearch ICEPS2 Listing, NASA SoA 2023 (Chapter 4)</t>
  </si>
  <si>
    <t>EnduroSat EPS II Datasheet, Satsearch EPS II Listing, NASA SoA 2023 (Chapter 4)</t>
  </si>
  <si>
    <t>Architecture inferred as ARM Cortex-M4 based on ICEPS2 interface specs and vendor’s Gen2 design language. Cost proxy ($8,500) based on Satsearch and NASA SoA EPS pricing.</t>
  </si>
  <si>
    <t>Architecture inferred as ARM Cortex-M4 based on EnduroSat hardware specs and subsystem class. Cost proxy ($5,500) based on Satsearch and NASA SoA CubeSat EPS pricing.</t>
  </si>
  <si>
    <t>Architecture inferred as PIC24 based on Pumpkin documentation and historical CubeSat implementations. Cost proxy ($9,500) based on Stanford SSI and SatCatalog listings.</t>
  </si>
  <si>
    <t>Architecture inferred as ARM Cortex-M3 based on AX.25 protocol implementation and NASA EDSN documentation. Cost proxy ($6,500) based on Stanford SSI and historical mission data.</t>
  </si>
  <si>
    <t>Architecture inferred as ARM Cortex-M4 based on interface specs and vendor’s use of COTS microcontrollers. Cost proxy ($15,600) based on Satsearch and SatNow vendor listings.</t>
  </si>
  <si>
    <t>Architecture inferred as ATMega/AVR based on ISISPACE documentation and subsystem class. Cost proxy ($11,000) based on SatCatalog and CubeSatShop listings.</t>
  </si>
  <si>
    <t>NovAtel OEM719 Datasheet, SatCatalog OEM719 Overview, NASA SoA 2023 (Chapter 6)</t>
  </si>
  <si>
    <t>Architecture confirmed as ARM Cortex-A9 via Zynq-7000 SoC listed in NovAtel datasheet. Cost proxy ($1,500) based on SatCatalog and NovAtel listings.</t>
  </si>
  <si>
    <t>GomSpace NanoUtil Datasheet, Satsearch NanoUtil Listing, CubeSatShop NanoUtil Overview</t>
  </si>
  <si>
    <t>Architecture inferred as AVR32 based on GomSpace documentation and legacy UC3 controller references. Cost proxy ($4,500) based on CubeSatShop and Satsearch listings.</t>
  </si>
  <si>
    <t>Antcom G5 Space Datasheet, SatNow G5 Antenna Overview</t>
  </si>
  <si>
    <t>Architecture not applicable — passive RF antenna with no programmable controller. Cost proxy ($2,200) based on SatNow and SatCatalog listings.</t>
  </si>
  <si>
    <t>Simera Sense MultiScape100 Datasheet, SatCatalog MultiScape100 Overview, NASA SoA 2023 (Chapter 9)</t>
  </si>
  <si>
    <t>Architecture confirmed as ARM Cortex-A9 via Zynq-7000 SoC listed in datasheet. Cost proxy ($45,000) based on SatCatalog and NASA SoA CubeSat payload pricing.</t>
  </si>
  <si>
    <t>Dragonfly Aero Gecko Imager Datasheet, SatCatalog Gecko Overview, SatNow Gecko Listing</t>
  </si>
  <si>
    <t>Architecture inferred as ARM Cortex-M7 based on vendor SoC specifications and subsystem class. Cost proxy ($25,000) based on SatCatalog and vendor listings.</t>
  </si>
  <si>
    <t>GomSpace NanoCam C1U Datasheet, Satsearch NanoCam Listing, CubeSatShop NanoCam Overview</t>
  </si>
  <si>
    <t>Architecture inferred as AVR32 based on GomSpace documentation and legacy CubeSat camera designs. Cost proxy ($12,000) based on CubeSatShop and SatCatalog listings.</t>
  </si>
  <si>
    <t>ENPULSION Nano R3 Datasheet, ESA NANO AR3 Final Presentation, SmallSat Europe: Flight Heritage &amp; Design Updates, Satsearch ENPULSION Nano R3 Listing</t>
  </si>
  <si>
    <t>Architecture inferred as MSP430 based on NASA documentation and Busek’s historical use of low-power TI MCUs in similar systems. Cost proxy ($125,000) based on SatCatalog and vendor listings for BIT-3 with gimbal.</t>
  </si>
  <si>
    <t>Dawn Aerospace B20 Datasheet, SatCatalog B20 Overview, Satsearch B20 Listing</t>
  </si>
  <si>
    <t>Architecture inferred as ARM Cortex-M0+ based on vendor descriptions of control electronics, interface specs, and subsystem class. Cost proxy ($45,000) based on SatCatalog and Satsearch listings for B20 green propulsion systems.</t>
  </si>
  <si>
    <t>Blue Canyon Tech</t>
  </si>
  <si>
    <t>XACT-15</t>
  </si>
  <si>
    <t>Blue Canyon Technologies XACT-15 Datasheet, SatNow XACT-15 Overview, NASA SoA 2023 (Chapter 5)</t>
  </si>
  <si>
    <t>Architecture confirmed as LEON3-FT based on NASA SoA 2023 and vendor documentation describing rad-hard processing core. Cost proxy ($135,000) based on SatNow and SatCatalog listings for XACT-15.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</si>
</sst>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74" formatCode="&quot;$&quot;#,##0"/>
  </numFmts>
  <fonts count="8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2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70C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44" fontId="6" fillId="0" borderId="0" applyFont="0" applyFill="0" applyBorder="0" applyAlignment="0" applyProtection="0"/>
  </cellStyleXfs>
  <cellXfs count="3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horizontal="center" vertical="center"/>
    </xf>
    <xf numFmtId="0" fontId="5" fillId="0" borderId="0" xfId="1" applyFont="1" applyFill="1" applyAlignment="1">
      <alignment horizontal="center" vertical="center" wrapText="1"/>
    </xf>
    <xf numFmtId="0" fontId="4" fillId="0" borderId="0" xfId="1" applyFont="1" applyFill="1" applyAlignment="1">
      <alignment horizontal="center" vertical="center" wrapText="1"/>
    </xf>
    <xf numFmtId="0" fontId="1" fillId="0" borderId="0" xfId="0" applyFont="1" applyFill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1" fillId="0" borderId="0" xfId="0" applyFont="1" applyFill="1"/>
    <xf numFmtId="0" fontId="2" fillId="2" borderId="1" xfId="0" applyFont="1" applyFill="1" applyBorder="1" applyAlignment="1">
      <alignment vertical="center"/>
    </xf>
    <xf numFmtId="0" fontId="1" fillId="0" borderId="0" xfId="0" applyFont="1" applyFill="1" applyAlignment="1">
      <alignment horizontal="center"/>
    </xf>
    <xf numFmtId="0" fontId="2" fillId="3" borderId="4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left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left" vertical="center" wrapText="1"/>
    </xf>
    <xf numFmtId="174" fontId="1" fillId="0" borderId="0" xfId="2" applyNumberFormat="1" applyFont="1" applyFill="1" applyAlignment="1">
      <alignment horizontal="center" vertical="center" wrapText="1"/>
    </xf>
    <xf numFmtId="174" fontId="1" fillId="0" borderId="0" xfId="2" applyNumberFormat="1" applyFont="1" applyFill="1" applyAlignment="1">
      <alignment horizontal="center" vertical="center"/>
    </xf>
    <xf numFmtId="0" fontId="7" fillId="4" borderId="1" xfId="0" applyFont="1" applyFill="1" applyBorder="1" applyAlignment="1">
      <alignment horizontal="center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5" fillId="0" borderId="1" xfId="1" applyFont="1" applyFill="1" applyBorder="1" applyAlignment="1">
      <alignment horizontal="left" vertical="center" wrapText="1"/>
    </xf>
    <xf numFmtId="0" fontId="1" fillId="0" borderId="0" xfId="0" applyFont="1" applyAlignment="1">
      <alignment vertical="center"/>
    </xf>
    <xf numFmtId="0" fontId="1" fillId="0" borderId="5" xfId="0" applyFont="1" applyBorder="1" applyAlignment="1">
      <alignment vertical="center" wrapText="1"/>
    </xf>
    <xf numFmtId="0" fontId="1" fillId="0" borderId="0" xfId="0" applyFont="1" applyFill="1" applyAlignment="1">
      <alignment vertical="center"/>
    </xf>
    <xf numFmtId="0" fontId="1" fillId="0" borderId="5" xfId="0" applyFont="1" applyFill="1" applyBorder="1" applyAlignment="1">
      <alignment vertical="center" wrapText="1"/>
    </xf>
  </cellXfs>
  <cellStyles count="3">
    <cellStyle name="Currency" xfId="2" builtinId="4"/>
    <cellStyle name="Hyperlink" xfId="1" builtinId="8"/>
    <cellStyle name="Normal" xfId="0" builtinId="0"/>
  </cellStyles>
  <dxfs count="1">
    <dxf>
      <fill>
        <patternFill>
          <bgColor theme="4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ABF2F-7B37-4E68-AC8E-5C43DD7D7AC8}">
  <sheetPr>
    <tabColor rgb="FF0070C0"/>
  </sheetPr>
  <dimension ref="A1:N22"/>
  <sheetViews>
    <sheetView tabSelected="1" zoomScale="90" workbookViewId="0">
      <selection activeCell="J4" sqref="J4"/>
    </sheetView>
  </sheetViews>
  <sheetFormatPr defaultRowHeight="16" x14ac:dyDescent="0.4"/>
  <cols>
    <col min="1" max="1" width="16.90625" style="1" bestFit="1" customWidth="1"/>
    <col min="2" max="2" width="11.7265625" style="1" customWidth="1"/>
    <col min="3" max="3" width="19.1796875" style="1" bestFit="1" customWidth="1"/>
    <col min="4" max="4" width="16.81640625" style="1" bestFit="1" customWidth="1"/>
    <col min="5" max="5" width="17.81640625" style="1" bestFit="1" customWidth="1"/>
    <col min="6" max="6" width="8.7265625" style="1" bestFit="1" customWidth="1"/>
    <col min="7" max="7" width="10.81640625" style="1" bestFit="1" customWidth="1"/>
    <col min="8" max="8" width="17.453125" style="1" bestFit="1" customWidth="1"/>
    <col min="9" max="9" width="12.81640625" style="1" bestFit="1" customWidth="1"/>
    <col min="10" max="10" width="12" style="1" bestFit="1" customWidth="1"/>
    <col min="11" max="11" width="16.26953125" style="1" bestFit="1" customWidth="1"/>
    <col min="12" max="12" width="11.36328125" style="1" bestFit="1" customWidth="1"/>
    <col min="13" max="13" width="64.36328125" style="1" customWidth="1"/>
    <col min="14" max="14" width="35" style="3" customWidth="1"/>
    <col min="15" max="16384" width="8.7265625" style="1"/>
  </cols>
  <sheetData>
    <row r="1" spans="1:14" s="2" customFormat="1" ht="18.5" x14ac:dyDescent="0.45">
      <c r="A1" s="23" t="s">
        <v>0</v>
      </c>
      <c r="B1" s="23" t="s">
        <v>1</v>
      </c>
      <c r="C1" s="23" t="s">
        <v>3</v>
      </c>
      <c r="D1" s="23" t="s">
        <v>2</v>
      </c>
      <c r="E1" s="23" t="s">
        <v>4</v>
      </c>
      <c r="F1" s="23" t="s">
        <v>5</v>
      </c>
      <c r="G1" s="23" t="s">
        <v>6</v>
      </c>
      <c r="H1" s="23" t="s">
        <v>7</v>
      </c>
      <c r="I1" s="23" t="s">
        <v>8</v>
      </c>
      <c r="J1" s="23" t="s">
        <v>9</v>
      </c>
      <c r="K1" s="23" t="s">
        <v>10</v>
      </c>
      <c r="L1" s="23" t="s">
        <v>11</v>
      </c>
      <c r="M1"/>
      <c r="N1"/>
    </row>
    <row r="2" spans="1:14" s="7" customFormat="1" ht="32" customHeight="1" x14ac:dyDescent="0.35">
      <c r="A2" s="4" t="s">
        <v>12</v>
      </c>
      <c r="B2" s="6" t="s">
        <v>13</v>
      </c>
      <c r="C2" s="6" t="s">
        <v>14</v>
      </c>
      <c r="D2" s="6" t="s">
        <v>15</v>
      </c>
      <c r="E2" s="21">
        <v>30000</v>
      </c>
      <c r="F2" s="6">
        <v>763</v>
      </c>
      <c r="G2" s="6">
        <v>3.3</v>
      </c>
      <c r="H2" s="6" t="s">
        <v>16</v>
      </c>
      <c r="I2" s="6">
        <v>1</v>
      </c>
      <c r="J2" s="6">
        <v>7.5</v>
      </c>
      <c r="K2" s="6">
        <v>3</v>
      </c>
      <c r="L2" s="6">
        <v>5</v>
      </c>
      <c r="M2" s="6"/>
      <c r="N2" s="10"/>
    </row>
    <row r="3" spans="1:14" s="7" customFormat="1" ht="32" customHeight="1" x14ac:dyDescent="0.35">
      <c r="A3" s="5" t="s">
        <v>19</v>
      </c>
      <c r="B3" s="7" t="s">
        <v>13</v>
      </c>
      <c r="C3" s="7" t="s">
        <v>20</v>
      </c>
      <c r="D3" s="7" t="s">
        <v>21</v>
      </c>
      <c r="E3" s="22">
        <v>18000</v>
      </c>
      <c r="F3" s="7">
        <v>126.5</v>
      </c>
      <c r="G3" s="7">
        <v>0.627</v>
      </c>
      <c r="H3" s="7" t="s">
        <v>24</v>
      </c>
      <c r="I3" s="7">
        <v>5</v>
      </c>
      <c r="J3" s="7">
        <v>7.8</v>
      </c>
      <c r="K3" s="7">
        <v>3</v>
      </c>
      <c r="L3" s="7">
        <v>5</v>
      </c>
      <c r="M3" s="6"/>
      <c r="N3" s="10"/>
    </row>
    <row r="4" spans="1:14" s="7" customFormat="1" ht="32" customHeight="1" x14ac:dyDescent="0.35">
      <c r="A4" s="5" t="s">
        <v>22</v>
      </c>
      <c r="B4" s="7" t="s">
        <v>13</v>
      </c>
      <c r="C4" s="7" t="s">
        <v>134</v>
      </c>
      <c r="D4" s="7" t="s">
        <v>135</v>
      </c>
      <c r="E4" s="22">
        <v>135000</v>
      </c>
      <c r="F4" s="7">
        <v>1100</v>
      </c>
      <c r="G4" s="7">
        <v>2.5</v>
      </c>
      <c r="H4" s="7" t="s">
        <v>16</v>
      </c>
      <c r="I4" s="7">
        <v>1</v>
      </c>
      <c r="J4" s="7">
        <v>7.5</v>
      </c>
      <c r="K4" s="7">
        <v>3</v>
      </c>
      <c r="L4" s="7">
        <v>5</v>
      </c>
      <c r="M4" s="6"/>
      <c r="N4" s="10"/>
    </row>
    <row r="5" spans="1:14" s="15" customFormat="1" ht="32" customHeight="1" x14ac:dyDescent="0.4">
      <c r="A5" s="4" t="s">
        <v>25</v>
      </c>
      <c r="B5" s="6" t="s">
        <v>26</v>
      </c>
      <c r="C5" s="6" t="s">
        <v>27</v>
      </c>
      <c r="D5" s="6" t="s">
        <v>28</v>
      </c>
      <c r="E5" s="21">
        <v>12000</v>
      </c>
      <c r="F5" s="6">
        <v>94</v>
      </c>
      <c r="G5" s="6">
        <v>0.3</v>
      </c>
      <c r="H5" s="6" t="s">
        <v>29</v>
      </c>
      <c r="I5" s="6">
        <v>8</v>
      </c>
      <c r="J5" s="6">
        <v>8.8000000000000007</v>
      </c>
      <c r="K5" s="6">
        <v>4</v>
      </c>
      <c r="L5" s="6">
        <v>5</v>
      </c>
      <c r="M5" s="6"/>
      <c r="N5" s="10"/>
    </row>
    <row r="6" spans="1:14" s="15" customFormat="1" ht="32" customHeight="1" x14ac:dyDescent="0.4">
      <c r="A6" s="4" t="s">
        <v>30</v>
      </c>
      <c r="B6" s="6" t="s">
        <v>26</v>
      </c>
      <c r="C6" s="6" t="s">
        <v>31</v>
      </c>
      <c r="D6" s="6" t="s">
        <v>32</v>
      </c>
      <c r="E6" s="21">
        <v>8000</v>
      </c>
      <c r="F6" s="6">
        <v>24</v>
      </c>
      <c r="G6" s="6">
        <v>0.2</v>
      </c>
      <c r="H6" s="6" t="s">
        <v>33</v>
      </c>
      <c r="I6" s="6">
        <v>3</v>
      </c>
      <c r="J6" s="6">
        <v>7.5</v>
      </c>
      <c r="K6" s="6">
        <v>4</v>
      </c>
      <c r="L6" s="6">
        <v>5</v>
      </c>
      <c r="M6" s="6"/>
      <c r="N6" s="10"/>
    </row>
    <row r="7" spans="1:14" s="15" customFormat="1" ht="32" customHeight="1" x14ac:dyDescent="0.4">
      <c r="A7" s="4" t="s">
        <v>34</v>
      </c>
      <c r="B7" s="6" t="s">
        <v>26</v>
      </c>
      <c r="C7" s="6" t="s">
        <v>35</v>
      </c>
      <c r="D7" s="6" t="s">
        <v>36</v>
      </c>
      <c r="E7" s="21">
        <v>25000</v>
      </c>
      <c r="F7" s="6">
        <v>150</v>
      </c>
      <c r="G7" s="6">
        <v>0.5</v>
      </c>
      <c r="H7" s="6" t="s">
        <v>37</v>
      </c>
      <c r="I7" s="6">
        <v>5</v>
      </c>
      <c r="J7" s="6">
        <v>7.8</v>
      </c>
      <c r="K7" s="6">
        <v>4</v>
      </c>
      <c r="L7" s="6">
        <v>5</v>
      </c>
      <c r="M7" s="6"/>
      <c r="N7" s="10"/>
    </row>
    <row r="8" spans="1:14" s="13" customFormat="1" ht="32" customHeight="1" x14ac:dyDescent="0.4">
      <c r="A8" s="4" t="s">
        <v>38</v>
      </c>
      <c r="B8" s="6" t="s">
        <v>39</v>
      </c>
      <c r="C8" s="6" t="s">
        <v>40</v>
      </c>
      <c r="D8" s="6" t="s">
        <v>41</v>
      </c>
      <c r="E8" s="21">
        <v>6500</v>
      </c>
      <c r="F8" s="6">
        <v>75</v>
      </c>
      <c r="G8" s="6">
        <v>4</v>
      </c>
      <c r="H8" s="6" t="s">
        <v>42</v>
      </c>
      <c r="I8" s="6">
        <v>2</v>
      </c>
      <c r="J8" s="6">
        <v>7.5</v>
      </c>
      <c r="K8" s="6">
        <v>5</v>
      </c>
      <c r="L8" s="6">
        <v>5</v>
      </c>
      <c r="M8" s="6"/>
      <c r="N8" s="10"/>
    </row>
    <row r="9" spans="1:14" s="13" customFormat="1" ht="32" customHeight="1" x14ac:dyDescent="0.4">
      <c r="A9" s="4" t="s">
        <v>43</v>
      </c>
      <c r="B9" s="6" t="s">
        <v>39</v>
      </c>
      <c r="C9" s="6" t="s">
        <v>44</v>
      </c>
      <c r="D9" s="6" t="s">
        <v>45</v>
      </c>
      <c r="E9" s="21">
        <v>15600</v>
      </c>
      <c r="F9" s="6">
        <v>250</v>
      </c>
      <c r="G9" s="6">
        <v>7.2</v>
      </c>
      <c r="H9" s="6" t="s">
        <v>23</v>
      </c>
      <c r="I9" s="6">
        <v>4</v>
      </c>
      <c r="J9" s="6">
        <v>7.8</v>
      </c>
      <c r="K9" s="6">
        <v>5</v>
      </c>
      <c r="L9" s="6">
        <v>4</v>
      </c>
      <c r="M9" s="6"/>
      <c r="N9" s="10"/>
    </row>
    <row r="10" spans="1:14" s="13" customFormat="1" ht="32" customHeight="1" x14ac:dyDescent="0.4">
      <c r="A10" s="4" t="s">
        <v>46</v>
      </c>
      <c r="B10" s="6" t="s">
        <v>39</v>
      </c>
      <c r="C10" s="6" t="s">
        <v>47</v>
      </c>
      <c r="D10" s="6" t="s">
        <v>48</v>
      </c>
      <c r="E10" s="21">
        <v>11000</v>
      </c>
      <c r="F10" s="6">
        <v>75</v>
      </c>
      <c r="G10" s="6">
        <v>4</v>
      </c>
      <c r="H10" s="6" t="s">
        <v>49</v>
      </c>
      <c r="I10" s="6">
        <v>1</v>
      </c>
      <c r="J10" s="6">
        <v>5.5</v>
      </c>
      <c r="K10" s="6">
        <v>5</v>
      </c>
      <c r="L10" s="6">
        <v>5</v>
      </c>
      <c r="M10" s="6"/>
      <c r="N10" s="10"/>
    </row>
    <row r="11" spans="1:14" s="13" customFormat="1" ht="32" customHeight="1" x14ac:dyDescent="0.4">
      <c r="A11" s="4" t="s">
        <v>50</v>
      </c>
      <c r="B11" s="6" t="s">
        <v>51</v>
      </c>
      <c r="C11" s="6" t="s">
        <v>47</v>
      </c>
      <c r="D11" s="6" t="s">
        <v>59</v>
      </c>
      <c r="E11" s="21">
        <v>8500</v>
      </c>
      <c r="F11" s="6">
        <v>179</v>
      </c>
      <c r="G11" s="6">
        <v>0.15</v>
      </c>
      <c r="H11" s="6" t="s">
        <v>23</v>
      </c>
      <c r="I11" s="6">
        <v>4</v>
      </c>
      <c r="J11" s="6">
        <v>7.8</v>
      </c>
      <c r="K11" s="6">
        <v>3</v>
      </c>
      <c r="L11" s="6">
        <v>5</v>
      </c>
      <c r="M11" s="6"/>
      <c r="N11" s="6"/>
    </row>
    <row r="12" spans="1:14" s="13" customFormat="1" ht="32" customHeight="1" x14ac:dyDescent="0.4">
      <c r="A12" s="4" t="s">
        <v>53</v>
      </c>
      <c r="B12" s="6" t="s">
        <v>51</v>
      </c>
      <c r="C12" s="6" t="s">
        <v>44</v>
      </c>
      <c r="D12" s="6" t="s">
        <v>54</v>
      </c>
      <c r="E12" s="21">
        <v>5500</v>
      </c>
      <c r="F12" s="6">
        <v>120</v>
      </c>
      <c r="G12" s="6">
        <v>0.1</v>
      </c>
      <c r="H12" s="6" t="s">
        <v>23</v>
      </c>
      <c r="I12" s="6">
        <v>4</v>
      </c>
      <c r="J12" s="6">
        <v>7.8</v>
      </c>
      <c r="K12" s="6">
        <v>3</v>
      </c>
      <c r="L12" s="6">
        <v>5</v>
      </c>
      <c r="M12" s="6"/>
      <c r="N12" s="6"/>
    </row>
    <row r="13" spans="1:14" s="13" customFormat="1" ht="32" customHeight="1" x14ac:dyDescent="0.4">
      <c r="A13" s="4" t="s">
        <v>55</v>
      </c>
      <c r="B13" s="6" t="s">
        <v>51</v>
      </c>
      <c r="C13" s="6" t="s">
        <v>56</v>
      </c>
      <c r="D13" s="6" t="s">
        <v>57</v>
      </c>
      <c r="E13" s="21">
        <v>9500</v>
      </c>
      <c r="F13" s="6">
        <v>180</v>
      </c>
      <c r="G13" s="6">
        <v>0.2</v>
      </c>
      <c r="H13" s="6" t="s">
        <v>58</v>
      </c>
      <c r="I13" s="6">
        <v>2</v>
      </c>
      <c r="J13" s="6">
        <v>6.8</v>
      </c>
      <c r="K13" s="6">
        <v>3</v>
      </c>
      <c r="L13" s="6">
        <v>5</v>
      </c>
      <c r="M13" s="6"/>
      <c r="N13" s="6"/>
    </row>
    <row r="14" spans="1:14" s="13" customFormat="1" ht="32" customHeight="1" x14ac:dyDescent="0.4">
      <c r="A14" s="4" t="s">
        <v>60</v>
      </c>
      <c r="B14" s="6" t="s">
        <v>61</v>
      </c>
      <c r="C14" s="6" t="s">
        <v>62</v>
      </c>
      <c r="D14" s="6" t="s">
        <v>63</v>
      </c>
      <c r="E14" s="21">
        <v>55000</v>
      </c>
      <c r="F14" s="6">
        <v>900</v>
      </c>
      <c r="G14" s="6">
        <v>10</v>
      </c>
      <c r="H14" s="6" t="s">
        <v>23</v>
      </c>
      <c r="I14" s="6">
        <v>4</v>
      </c>
      <c r="J14" s="6">
        <v>7.8</v>
      </c>
      <c r="K14" s="6">
        <v>2</v>
      </c>
      <c r="L14" s="6">
        <v>4</v>
      </c>
      <c r="M14" s="8"/>
      <c r="N14" s="6"/>
    </row>
    <row r="15" spans="1:14" s="13" customFormat="1" ht="32" customHeight="1" x14ac:dyDescent="0.4">
      <c r="A15" s="4" t="s">
        <v>64</v>
      </c>
      <c r="B15" s="6" t="s">
        <v>61</v>
      </c>
      <c r="C15" s="6" t="s">
        <v>65</v>
      </c>
      <c r="D15" s="6" t="s">
        <v>66</v>
      </c>
      <c r="E15" s="21">
        <v>125000</v>
      </c>
      <c r="F15" s="6">
        <v>3000</v>
      </c>
      <c r="G15" s="6">
        <v>60</v>
      </c>
      <c r="H15" s="6" t="s">
        <v>52</v>
      </c>
      <c r="I15" s="6">
        <v>1</v>
      </c>
      <c r="J15" s="6">
        <v>5.0999999999999996</v>
      </c>
      <c r="K15" s="6">
        <v>2</v>
      </c>
      <c r="L15" s="6">
        <v>4</v>
      </c>
      <c r="M15" s="9"/>
      <c r="N15" s="6"/>
    </row>
    <row r="16" spans="1:14" s="13" customFormat="1" ht="32" customHeight="1" x14ac:dyDescent="0.4">
      <c r="A16" s="4" t="s">
        <v>67</v>
      </c>
      <c r="B16" s="6" t="s">
        <v>61</v>
      </c>
      <c r="C16" s="6" t="s">
        <v>68</v>
      </c>
      <c r="D16" s="6" t="s">
        <v>69</v>
      </c>
      <c r="E16" s="21">
        <v>45000</v>
      </c>
      <c r="F16" s="6">
        <v>450</v>
      </c>
      <c r="G16" s="6">
        <v>5</v>
      </c>
      <c r="H16" s="6" t="s">
        <v>29</v>
      </c>
      <c r="I16" s="6">
        <v>8</v>
      </c>
      <c r="J16" s="6">
        <v>8.8000000000000007</v>
      </c>
      <c r="K16" s="6">
        <v>2</v>
      </c>
      <c r="L16" s="6">
        <v>4</v>
      </c>
      <c r="M16" s="9"/>
      <c r="N16" s="6"/>
    </row>
    <row r="17" spans="1:14" s="13" customFormat="1" ht="32" customHeight="1" x14ac:dyDescent="0.4">
      <c r="A17" s="4" t="s">
        <v>70</v>
      </c>
      <c r="B17" s="6" t="s">
        <v>71</v>
      </c>
      <c r="C17" s="6" t="s">
        <v>72</v>
      </c>
      <c r="D17" s="6" t="s">
        <v>73</v>
      </c>
      <c r="E17" s="21">
        <v>1500</v>
      </c>
      <c r="F17" s="6">
        <v>31</v>
      </c>
      <c r="G17" s="6">
        <v>1</v>
      </c>
      <c r="H17" s="6" t="s">
        <v>74</v>
      </c>
      <c r="I17" s="6">
        <v>12</v>
      </c>
      <c r="J17" s="6">
        <v>9.8000000000000007</v>
      </c>
      <c r="K17" s="6">
        <v>4</v>
      </c>
      <c r="L17" s="6">
        <v>3</v>
      </c>
      <c r="M17" s="9"/>
      <c r="N17" s="6"/>
    </row>
    <row r="18" spans="1:14" s="13" customFormat="1" ht="32" customHeight="1" x14ac:dyDescent="0.4">
      <c r="A18" s="4" t="s">
        <v>75</v>
      </c>
      <c r="B18" s="6" t="s">
        <v>71</v>
      </c>
      <c r="C18" s="6" t="s">
        <v>76</v>
      </c>
      <c r="D18" s="6" t="s">
        <v>77</v>
      </c>
      <c r="E18" s="21">
        <v>4500</v>
      </c>
      <c r="F18" s="6">
        <v>20</v>
      </c>
      <c r="G18" s="6">
        <v>0.2</v>
      </c>
      <c r="H18" s="6" t="s">
        <v>78</v>
      </c>
      <c r="I18" s="6">
        <v>3</v>
      </c>
      <c r="J18" s="6">
        <v>7.5</v>
      </c>
      <c r="K18" s="6">
        <v>4</v>
      </c>
      <c r="L18" s="6">
        <v>3</v>
      </c>
      <c r="M18" s="9"/>
      <c r="N18" s="6"/>
    </row>
    <row r="19" spans="1:14" s="13" customFormat="1" ht="32" customHeight="1" x14ac:dyDescent="0.4">
      <c r="A19" s="4" t="s">
        <v>79</v>
      </c>
      <c r="B19" s="6" t="s">
        <v>71</v>
      </c>
      <c r="C19" s="6" t="s">
        <v>80</v>
      </c>
      <c r="D19" s="6" t="s">
        <v>81</v>
      </c>
      <c r="E19" s="21">
        <v>2200</v>
      </c>
      <c r="F19" s="6">
        <v>150</v>
      </c>
      <c r="G19" s="6">
        <v>0.05</v>
      </c>
      <c r="H19" s="6" t="s">
        <v>82</v>
      </c>
      <c r="I19" s="6">
        <v>0</v>
      </c>
      <c r="J19" s="6">
        <v>0</v>
      </c>
      <c r="K19" s="6">
        <v>1</v>
      </c>
      <c r="L19" s="6">
        <v>3</v>
      </c>
      <c r="M19" s="9"/>
      <c r="N19" s="6"/>
    </row>
    <row r="20" spans="1:14" s="13" customFormat="1" ht="32" customHeight="1" x14ac:dyDescent="0.4">
      <c r="A20" s="4" t="s">
        <v>83</v>
      </c>
      <c r="B20" s="6" t="s">
        <v>84</v>
      </c>
      <c r="C20" s="6" t="s">
        <v>85</v>
      </c>
      <c r="D20" s="6" t="s">
        <v>86</v>
      </c>
      <c r="E20" s="21">
        <v>45000</v>
      </c>
      <c r="F20" s="6">
        <v>1100</v>
      </c>
      <c r="G20" s="6">
        <v>7.5</v>
      </c>
      <c r="H20" s="6" t="s">
        <v>74</v>
      </c>
      <c r="I20" s="6">
        <v>12</v>
      </c>
      <c r="J20" s="6">
        <v>9.8000000000000007</v>
      </c>
      <c r="K20" s="6">
        <v>4</v>
      </c>
      <c r="L20" s="6">
        <v>2</v>
      </c>
      <c r="M20" s="9"/>
      <c r="N20" s="6"/>
    </row>
    <row r="21" spans="1:14" s="13" customFormat="1" ht="32" customHeight="1" x14ac:dyDescent="0.4">
      <c r="A21" s="4" t="s">
        <v>87</v>
      </c>
      <c r="B21" s="6" t="s">
        <v>84</v>
      </c>
      <c r="C21" s="6" t="s">
        <v>88</v>
      </c>
      <c r="D21" s="6" t="s">
        <v>89</v>
      </c>
      <c r="E21" s="21">
        <v>25000</v>
      </c>
      <c r="F21" s="6">
        <v>480</v>
      </c>
      <c r="G21" s="6">
        <v>3.5</v>
      </c>
      <c r="H21" s="6" t="s">
        <v>24</v>
      </c>
      <c r="I21" s="6">
        <v>5</v>
      </c>
      <c r="J21" s="6">
        <v>7.8</v>
      </c>
      <c r="K21" s="6">
        <v>4</v>
      </c>
      <c r="L21" s="6">
        <v>2</v>
      </c>
      <c r="M21" s="9"/>
      <c r="N21" s="6"/>
    </row>
    <row r="22" spans="1:14" s="13" customFormat="1" ht="32" customHeight="1" x14ac:dyDescent="0.4">
      <c r="A22" s="4" t="s">
        <v>90</v>
      </c>
      <c r="B22" s="6" t="s">
        <v>84</v>
      </c>
      <c r="C22" s="6" t="s">
        <v>76</v>
      </c>
      <c r="D22" s="6" t="s">
        <v>91</v>
      </c>
      <c r="E22" s="21">
        <v>12000</v>
      </c>
      <c r="F22" s="6">
        <v>166</v>
      </c>
      <c r="G22" s="6">
        <v>1.5</v>
      </c>
      <c r="H22" s="6" t="s">
        <v>78</v>
      </c>
      <c r="I22" s="6">
        <v>3</v>
      </c>
      <c r="J22" s="6">
        <v>7.5</v>
      </c>
      <c r="K22" s="6">
        <v>4</v>
      </c>
      <c r="L22" s="7">
        <v>2</v>
      </c>
      <c r="M22" s="7"/>
      <c r="N22" s="7"/>
    </row>
  </sheetData>
  <conditionalFormatting sqref="A2:L22">
    <cfRule type="expression" dxfId="0" priority="1">
      <formula>MOD(ROW(),2)=0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767C8-B538-4A2D-BD95-1960D6A28ADD}">
  <sheetPr>
    <tabColor theme="4" tint="0.79998168889431442"/>
  </sheetPr>
  <dimension ref="A1:V30"/>
  <sheetViews>
    <sheetView zoomScaleNormal="100" workbookViewId="0">
      <selection activeCell="D5" sqref="D5"/>
    </sheetView>
  </sheetViews>
  <sheetFormatPr defaultRowHeight="16" x14ac:dyDescent="0.4"/>
  <cols>
    <col min="1" max="1" width="16.6328125" style="1" bestFit="1" customWidth="1"/>
    <col min="2" max="3" width="75.6328125" style="1" customWidth="1"/>
    <col min="4" max="22" width="40.6328125" style="1" customWidth="1"/>
    <col min="23" max="16384" width="8.7265625" style="1"/>
  </cols>
  <sheetData>
    <row r="1" spans="1:22" ht="48" customHeight="1" x14ac:dyDescent="0.4">
      <c r="A1" s="14" t="s">
        <v>92</v>
      </c>
      <c r="B1" s="24" t="s">
        <v>93</v>
      </c>
      <c r="C1" s="25"/>
    </row>
    <row r="2" spans="1:22" s="29" customFormat="1" ht="18" customHeight="1" x14ac:dyDescent="0.35">
      <c r="A2" s="19" t="s">
        <v>0</v>
      </c>
      <c r="B2" s="18" t="s">
        <v>17</v>
      </c>
      <c r="C2" s="19" t="s">
        <v>18</v>
      </c>
      <c r="D2" s="7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</row>
    <row r="3" spans="1:22" s="29" customFormat="1" ht="50" customHeight="1" x14ac:dyDescent="0.35">
      <c r="A3" s="11" t="s">
        <v>12</v>
      </c>
      <c r="B3" s="26" t="s">
        <v>101</v>
      </c>
      <c r="C3" s="17" t="s">
        <v>95</v>
      </c>
    </row>
    <row r="4" spans="1:22" s="29" customFormat="1" ht="50" customHeight="1" x14ac:dyDescent="0.35">
      <c r="A4" s="16" t="s">
        <v>19</v>
      </c>
      <c r="B4" s="26" t="s">
        <v>102</v>
      </c>
      <c r="C4" s="30" t="s">
        <v>100</v>
      </c>
    </row>
    <row r="5" spans="1:22" s="29" customFormat="1" ht="50" customHeight="1" x14ac:dyDescent="0.35">
      <c r="A5" s="12" t="s">
        <v>22</v>
      </c>
      <c r="B5" s="26" t="s">
        <v>136</v>
      </c>
      <c r="C5" s="32" t="s">
        <v>137</v>
      </c>
    </row>
    <row r="6" spans="1:22" s="29" customFormat="1" ht="50" customHeight="1" x14ac:dyDescent="0.35">
      <c r="A6" s="11" t="s">
        <v>25</v>
      </c>
      <c r="B6" s="27" t="s">
        <v>103</v>
      </c>
      <c r="C6" s="20" t="s">
        <v>97</v>
      </c>
    </row>
    <row r="7" spans="1:22" s="29" customFormat="1" ht="50" customHeight="1" x14ac:dyDescent="0.35">
      <c r="A7" s="11" t="s">
        <v>30</v>
      </c>
      <c r="B7" s="27" t="s">
        <v>104</v>
      </c>
      <c r="C7" s="17" t="s">
        <v>98</v>
      </c>
    </row>
    <row r="8" spans="1:22" s="29" customFormat="1" ht="50" customHeight="1" x14ac:dyDescent="0.35">
      <c r="A8" s="11" t="s">
        <v>34</v>
      </c>
      <c r="B8" s="27" t="s">
        <v>105</v>
      </c>
      <c r="C8" s="30" t="s">
        <v>99</v>
      </c>
    </row>
    <row r="9" spans="1:22" s="29" customFormat="1" ht="50" customHeight="1" x14ac:dyDescent="0.35">
      <c r="A9" s="11" t="s">
        <v>38</v>
      </c>
      <c r="B9" s="27" t="s">
        <v>106</v>
      </c>
      <c r="C9" s="17" t="s">
        <v>115</v>
      </c>
    </row>
    <row r="10" spans="1:22" s="29" customFormat="1" ht="50" customHeight="1" x14ac:dyDescent="0.35">
      <c r="A10" s="11" t="s">
        <v>43</v>
      </c>
      <c r="B10" s="27" t="s">
        <v>107</v>
      </c>
      <c r="C10" s="30" t="s">
        <v>116</v>
      </c>
    </row>
    <row r="11" spans="1:22" s="29" customFormat="1" ht="50" customHeight="1" x14ac:dyDescent="0.35">
      <c r="A11" s="11" t="s">
        <v>46</v>
      </c>
      <c r="B11" s="27" t="s">
        <v>108</v>
      </c>
      <c r="C11" s="17" t="s">
        <v>117</v>
      </c>
    </row>
    <row r="12" spans="1:22" s="29" customFormat="1" ht="50" customHeight="1" x14ac:dyDescent="0.35">
      <c r="A12" s="11" t="s">
        <v>50</v>
      </c>
      <c r="B12" s="27" t="s">
        <v>110</v>
      </c>
      <c r="C12" s="17" t="s">
        <v>112</v>
      </c>
    </row>
    <row r="13" spans="1:22" s="29" customFormat="1" ht="50" customHeight="1" x14ac:dyDescent="0.35">
      <c r="A13" s="11" t="s">
        <v>53</v>
      </c>
      <c r="B13" s="27" t="s">
        <v>111</v>
      </c>
      <c r="C13" s="17" t="s">
        <v>113</v>
      </c>
    </row>
    <row r="14" spans="1:22" s="29" customFormat="1" ht="50" customHeight="1" x14ac:dyDescent="0.35">
      <c r="A14" s="11" t="s">
        <v>55</v>
      </c>
      <c r="B14" s="26" t="s">
        <v>109</v>
      </c>
      <c r="C14" s="20" t="s">
        <v>114</v>
      </c>
      <c r="D14" s="31"/>
    </row>
    <row r="15" spans="1:22" s="29" customFormat="1" ht="50" customHeight="1" x14ac:dyDescent="0.35">
      <c r="A15" s="11" t="s">
        <v>60</v>
      </c>
      <c r="B15" s="28" t="s">
        <v>130</v>
      </c>
      <c r="C15" s="20" t="s">
        <v>96</v>
      </c>
      <c r="D15" s="31"/>
    </row>
    <row r="16" spans="1:22" s="29" customFormat="1" ht="50" customHeight="1" x14ac:dyDescent="0.35">
      <c r="A16" s="11" t="s">
        <v>64</v>
      </c>
      <c r="B16" s="28" t="s">
        <v>94</v>
      </c>
      <c r="C16" s="20" t="s">
        <v>131</v>
      </c>
      <c r="D16" s="31"/>
    </row>
    <row r="17" spans="1:4" s="29" customFormat="1" ht="50" customHeight="1" x14ac:dyDescent="0.35">
      <c r="A17" s="11" t="s">
        <v>67</v>
      </c>
      <c r="B17" s="28" t="s">
        <v>132</v>
      </c>
      <c r="C17" s="20" t="s">
        <v>133</v>
      </c>
      <c r="D17" s="31"/>
    </row>
    <row r="18" spans="1:4" s="29" customFormat="1" ht="50" customHeight="1" x14ac:dyDescent="0.35">
      <c r="A18" s="11" t="s">
        <v>70</v>
      </c>
      <c r="B18" s="28" t="s">
        <v>118</v>
      </c>
      <c r="C18" s="20" t="s">
        <v>119</v>
      </c>
      <c r="D18" s="31"/>
    </row>
    <row r="19" spans="1:4" s="29" customFormat="1" ht="50" customHeight="1" x14ac:dyDescent="0.35">
      <c r="A19" s="11" t="s">
        <v>75</v>
      </c>
      <c r="B19" s="27" t="s">
        <v>120</v>
      </c>
      <c r="C19" s="20" t="s">
        <v>121</v>
      </c>
      <c r="D19" s="31"/>
    </row>
    <row r="20" spans="1:4" s="29" customFormat="1" ht="50" customHeight="1" x14ac:dyDescent="0.35">
      <c r="A20" s="11" t="s">
        <v>79</v>
      </c>
      <c r="B20" s="27" t="s">
        <v>122</v>
      </c>
      <c r="C20" s="20" t="s">
        <v>123</v>
      </c>
      <c r="D20" s="31"/>
    </row>
    <row r="21" spans="1:4" s="29" customFormat="1" ht="50" customHeight="1" x14ac:dyDescent="0.35">
      <c r="A21" s="11" t="s">
        <v>83</v>
      </c>
      <c r="B21" s="28" t="s">
        <v>124</v>
      </c>
      <c r="C21" s="20" t="s">
        <v>125</v>
      </c>
      <c r="D21" s="31"/>
    </row>
    <row r="22" spans="1:4" s="29" customFormat="1" ht="50" customHeight="1" x14ac:dyDescent="0.35">
      <c r="A22" s="11" t="s">
        <v>87</v>
      </c>
      <c r="B22" s="28" t="s">
        <v>126</v>
      </c>
      <c r="C22" s="20" t="s">
        <v>127</v>
      </c>
      <c r="D22" s="31"/>
    </row>
    <row r="23" spans="1:4" s="29" customFormat="1" ht="50" customHeight="1" x14ac:dyDescent="0.35">
      <c r="A23" s="11" t="s">
        <v>90</v>
      </c>
      <c r="B23" s="26" t="s">
        <v>128</v>
      </c>
      <c r="C23" s="20" t="s">
        <v>129</v>
      </c>
      <c r="D23" s="31"/>
    </row>
    <row r="24" spans="1:4" x14ac:dyDescent="0.4">
      <c r="B24" s="13"/>
      <c r="C24" s="13"/>
      <c r="D24" s="13"/>
    </row>
    <row r="25" spans="1:4" x14ac:dyDescent="0.4">
      <c r="B25" s="13"/>
      <c r="C25" s="13"/>
      <c r="D25" s="13"/>
    </row>
    <row r="26" spans="1:4" x14ac:dyDescent="0.4">
      <c r="B26" s="13"/>
      <c r="C26" s="13"/>
      <c r="D26" s="13"/>
    </row>
    <row r="27" spans="1:4" x14ac:dyDescent="0.4">
      <c r="B27" s="13"/>
      <c r="C27" s="13"/>
      <c r="D27" s="13"/>
    </row>
    <row r="28" spans="1:4" x14ac:dyDescent="0.4">
      <c r="B28" s="13"/>
      <c r="C28" s="13"/>
      <c r="D28" s="13"/>
    </row>
    <row r="29" spans="1:4" x14ac:dyDescent="0.4">
      <c r="B29" s="13"/>
      <c r="C29" s="13"/>
      <c r="D29" s="13"/>
    </row>
    <row r="30" spans="1:4" x14ac:dyDescent="0.4">
      <c r="B30" s="13"/>
      <c r="C30" s="13"/>
      <c r="D30" s="13"/>
    </row>
  </sheetData>
  <mergeCells count="1"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Component Data</vt:lpstr>
      <vt:lpstr>Sources &amp; 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 Degregory</dc:creator>
  <cp:lastModifiedBy>Nicole Degregory</cp:lastModifiedBy>
  <dcterms:created xsi:type="dcterms:W3CDTF">2026-01-01T02:46:33Z</dcterms:created>
  <dcterms:modified xsi:type="dcterms:W3CDTF">2026-01-06T08:12:57Z</dcterms:modified>
</cp:coreProperties>
</file>